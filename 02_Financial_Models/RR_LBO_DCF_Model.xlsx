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DCF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<sst xmlns="http://schemas.openxmlformats.org/spreadsheetml/2006/main" count="140" uniqueCount="132">
  <si>
    <t xml:space="preserve">PROJECT OSPREY</t>
  </si>
  <si>
    <t xml:space="preserve">Rolls-Royce Holdings plc  |  LSE: RR.</t>
  </si>
  <si>
    <t xml:space="preserve">Deal Code:</t>
  </si>
  <si>
    <t xml:space="preserve">Project Osprey</t>
  </si>
  <si>
    <t xml:space="preserve">Target:</t>
  </si>
  <si>
    <t xml:space="preserve">Rolls-Royce Holdings plc</t>
  </si>
  <si>
    <t xml:space="preserve">Ticker:</t>
  </si>
  <si>
    <t xml:space="preserve">LSE: RR.</t>
  </si>
  <si>
    <t xml:space="preserve">Sector:</t>
  </si>
  <si>
    <t xml:space="preserve">Aerospace, Defence &amp; Power Systems</t>
  </si>
  <si>
    <t xml:space="preserve">Headquarters:</t>
  </si>
  <si>
    <t xml:space="preserve">London, United Kingdom</t>
  </si>
  <si>
    <t xml:space="preserve">Date of Analysis:</t>
  </si>
  <si>
    <t xml:space="preserve">23 May 2026</t>
  </si>
  <si>
    <t xml:space="preserve">Prepared by:</t>
  </si>
  <si>
    <t xml:space="preserve">M&amp;A Advisory — Senior VP</t>
  </si>
  <si>
    <t xml:space="preserve">Status:</t>
  </si>
  <si>
    <t xml:space="preserve">DRAFT — IC Pre-read</t>
  </si>
  <si>
    <t xml:space="preserve">WORKBOOK MAP</t>
  </si>
  <si>
    <t xml:space="preserve">Tab</t>
  </si>
  <si>
    <t xml:space="preserve">Purpose</t>
  </si>
  <si>
    <t xml:space="preserve">Cover</t>
  </si>
  <si>
    <t xml:space="preserve">Project identification, workbook map, disclaimer</t>
  </si>
  <si>
    <t xml:space="preserve">Assumptions</t>
  </si>
  <si>
    <t xml:space="preserve">Hardcoded inputs: WACC build, growth, terminal, share count</t>
  </si>
  <si>
    <t xml:space="preserve">DCF</t>
  </si>
  <si>
    <t xml:space="preserve">5-yr FCF projection, terminal value, equity bridge, 2-way data table</t>
  </si>
  <si>
    <t xml:space="preserve">FORMATTING CONVENTIONS</t>
  </si>
  <si>
    <t xml:space="preserve">Blue</t>
  </si>
  <si>
    <t xml:space="preserve">Hardcoded inputs / assumptions</t>
  </si>
  <si>
    <t xml:space="preserve">Black</t>
  </si>
  <si>
    <t xml:space="preserve">Formula / calculation</t>
  </si>
  <si>
    <t xml:space="preserve">Green</t>
  </si>
  <si>
    <t xml:space="preserve">Cross-sheet link within workbook</t>
  </si>
  <si>
    <t xml:space="preserve">Yellow fill</t>
  </si>
  <si>
    <t xml:space="preserve">Key assumption requiring committee attention</t>
  </si>
  <si>
    <t xml:space="preserve">DISCLAIMER</t>
  </si>
  <si>
    <t xml:space="preserve">Prepared for internal Investment Committee use only. Figures sourced from RR Holdings plc FY2025 Results (26-Feb-2026). Not for external distribution.</t>
  </si>
  <si>
    <t xml:space="preserve">ASSUMPTIONS</t>
  </si>
  <si>
    <t xml:space="preserve">All figures £bn unless stated. Source: RR FY25 results, 26-Feb-2026.</t>
  </si>
  <si>
    <t xml:space="preserve">Fiscal Year</t>
  </si>
  <si>
    <t xml:space="preserve">2025A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</si>
  <si>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</si>
  <si>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</si>
  <si>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</si>
  <si>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</si>
  <si>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</si>
  <si>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Source / Note</t>
  </si>
  <si>
    <t xml:space="preserve">OPERATING ASSUMPTIONS</t>
  </si>
  <si>
    <t xml:space="preserve">Underlying Operating Profit (£bn)</t>
  </si>
  <si>
    <t xml:space="preserve">FY25 actual; FY26/28 mgmt mid-pt; FY27/29/30 interpolated</t>
  </si>
  <si>
    <t xml:space="preserve">Underlying Operating Margin</t>
  </si>
  <si>
    <t xml:space="preserve">Margin walk: 17.3% → 20.5% across forecast</t>
  </si>
  <si>
    <t xml:space="preserve">Implied Revenue (£bn)</t>
  </si>
  <si>
    <t xml:space="preserve">Profit / margin</t>
  </si>
  <si>
    <t xml:space="preserve">FREE CASH FLOW BUILD</t>
  </si>
  <si>
    <t xml:space="preserve">Free Cash Flow (£bn)</t>
  </si>
  <si>
    <t xml:space="preserve">FY25 actual £3.3bn; FY26 £3.6-3.8bn mid; FY28 £5.0-5.3bn mid</t>
  </si>
  <si>
    <t xml:space="preserve">FCF YoY Growth</t>
  </si>
  <si>
    <t xml:space="preserve">n/a</t>
  </si>
  <si>
    <t xml:space="preserve">Reflects engine LLP flywheel ramp</t>
  </si>
  <si>
    <t xml:space="preserve">FCF / Underlying Op Profit</t>
  </si>
  <si>
    <t xml:space="preserve">Cash conversion proxy</t>
  </si>
  <si>
    <t xml:space="preserve">WACC BUILD</t>
  </si>
  <si>
    <t xml:space="preserve">Risk-free rate (UK 10Y Gilt)</t>
  </si>
  <si>
    <t xml:space="preserve">Bloomberg, May-26</t>
  </si>
  <si>
    <t xml:space="preserve">Equity risk premium</t>
  </si>
  <si>
    <t xml:space="preserve">Damodaran mature equity</t>
  </si>
  <si>
    <t xml:space="preserve">Levered beta</t>
  </si>
  <si>
    <t xml:space="preserve">5Y wkly vs FTSE100</t>
  </si>
  <si>
    <t xml:space="preserve">Cost of equity</t>
  </si>
  <si>
    <t xml:space="preserve">Rf + β × ERP</t>
  </si>
  <si>
    <t xml:space="preserve">Pre-tax cost of debt</t>
  </si>
  <si>
    <t xml:space="preserve">RR senior notes 2034</t>
  </si>
  <si>
    <t xml:space="preserve">Tax rate</t>
  </si>
  <si>
    <t xml:space="preserve">UK statutory</t>
  </si>
  <si>
    <t xml:space="preserve">After-tax cost of debt</t>
  </si>
  <si>
    <t xml:space="preserve">Kd × (1-t)</t>
  </si>
  <si>
    <t xml:space="preserve">Equity weight</t>
  </si>
  <si>
    <t xml:space="preserve">Target capital structure</t>
  </si>
  <si>
    <t xml:space="preserve">Debt weight</t>
  </si>
  <si>
    <t xml:space="preserve">1-equity weight</t>
  </si>
  <si>
    <t xml:space="preserve">WACC</t>
  </si>
  <si>
    <t xml:space="preserve">BASE CASE</t>
  </si>
  <si>
    <t xml:space="preserve">TERMINAL &amp; EQUITY ASSUMPTIONS</t>
  </si>
  <si>
    <t xml:space="preserve">Terminal growth rate (g)</t>
  </si>
  <si>
    <t xml:space="preserve">Long-run UK CPI + real growth</t>
  </si>
  <si>
    <t xml:space="preserve">Shares outstanding (bn)</t>
  </si>
  <si>
    <t xml:space="preserve">Market cap £100bn / £12.08</t>
  </si>
  <si>
    <t xml:space="preserve">Net cash position (£bn)</t>
  </si>
  <si>
    <t xml:space="preserve">31-Dec-2025</t>
  </si>
  <si>
    <t xml:space="preserve">Current share price (p)</t>
  </si>
  <si>
    <t xml:space="preserve">LSE close 21-May-26</t>
  </si>
  <si>
    <t xml:space="preserve">Valuation date</t>
  </si>
  <si>
    <t xml:space="preserve">23-May-2026</t>
  </si>
  <si>
    <t xml:space="preserve">Today</t>
  </si>
  <si>
    <t xml:space="preserve">CAPITAL RETURN PROGRAM</t>
  </si>
  <si>
    <t xml:space="preserve">Total Buyback Authorisation (£bn)</t>
  </si>
  <si>
    <t xml:space="preserve">Mid-pt of £7-9bn (2026-28)</t>
  </si>
  <si>
    <t xml:space="preserve">Initial Tranche 2026 (£bn)</t>
  </si>
  <si>
    <t xml:space="preserve">Announced Feb-26</t>
  </si>
  <si>
    <t xml:space="preserve">DCF VALUATION — RR HOLDINGS</t>
  </si>
  <si>
    <t xml:space="preserve">All figures £bn unless stated.  |  Valuation date: 23-May-2026</t>
  </si>
  <si>
    <t xml:space="preserve">(£bn)</t>
  </si>
  <si>
    <t xml:space="preserve">Terminal</t>
  </si>
  <si>
    <t xml:space="preserve">FREE CASH FLOW PROJECTION</t>
  </si>
  <si>
    <t xml:space="preserve">Underlying Operating Profit</t>
  </si>
  <si>
    <t xml:space="preserve">Free Cash Flow</t>
  </si>
  <si>
    <t xml:space="preserve">  YoY Growth %</t>
  </si>
  <si>
    <t xml:space="preserve">  Bridge to 2028 target (cum.)</t>
  </si>
  <si>
    <t xml:space="preserve">DCF MECHANICS</t>
  </si>
  <si>
    <t xml:space="preserve">WACC (base case)</t>
  </si>
  <si>
    <t xml:space="preserve">Discount Period (mid-year convention)</t>
  </si>
  <si>
    <t xml:space="preserve">Discount Factor</t>
  </si>
  <si>
    <t xml:space="preserve">Terminal Value (Gordon Growth)</t>
  </si>
  <si>
    <t xml:space="preserve">Cash Flow for Discounting</t>
  </si>
  <si>
    <t xml:space="preserve">PV of Cash Flow</t>
  </si>
  <si>
    <t xml:space="preserve">VALUATION BRIDGE</t>
  </si>
  <si>
    <t xml:space="preserve">Sum of PV of explicit forecast (2026-30)</t>
  </si>
  <si>
    <t xml:space="preserve">PV of Terminal Value</t>
  </si>
  <si>
    <t xml:space="preserve">Enterprise Value</t>
  </si>
  <si>
    <t xml:space="preserve">(+) Net Cash</t>
  </si>
  <si>
    <t xml:space="preserve">Equity Value</t>
  </si>
  <si>
    <t xml:space="preserve">Shares Outstanding (bn)</t>
  </si>
  <si>
    <t xml:space="preserve">Implied Share Price (£)</t>
  </si>
  <si>
    <t xml:space="preserve">Current Share Price (£)</t>
  </si>
  <si>
    <t xml:space="preserve">Implied Upside / (Downside)</t>
  </si>
  <si>
    <t xml:space="preserve">SENSITIVITY: IMPLIED SHARE PRICE (£) — WACC vs TERMINAL GROWTH</t>
  </si>
  <si>
    <t xml:space="preserve">Rows: WACC  |  Columns: Terminal growth rate (g)</t>
  </si>
  <si>
    <t xml:space="preserve">g →</t>
  </si>
  <si>
    <t xml:space="preserve">Notes</t>
  </si>
  <si>
    <t xml:space="preserve">(1) Base case highlighted yellow: WACC 9.5%, g 2.25%.  (2) FCF stream linked from Assumptions tab.  (3) Mid-year discount convention applied.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</si>
</sst>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£#,##0.0;&quot;(£&quot;#,##0.0\);\-"/>
    <numFmt numFmtId="166" formatCode="0.0%;\(0.0%\);\-"/>
    <numFmt numFmtId="167" formatCode="0.0%"/>
    <numFmt numFmtId="168" formatCode="0.00"/>
    <numFmt numFmtId="169" formatCode="@"/>
    <numFmt numFmtId="170" formatCode="0.0"/>
    <numFmt numFmtId="171" formatCode="0.0000"/>
    <numFmt numFmtId="172" formatCode="\£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2E5395"/>
        <bgColor rgb="FF1F3864"/>
      </patternFill>
    </fill>
    <fill>
      <patternFill patternType="solid">
        <fgColor rgb="FFF2F2F2"/>
        <bgColor rgb="FFFFFFFF"/>
      </patternFill>
    </fill>
    <fill>
      <patternFill patternType="solid">
        <fgColor rgb="FFFFE699"/>
        <bgColor rgb="FFFFCC9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60"/>
    <col collapsed="false" customWidth="true" hidden="false" outlineLevel="0" max="4" min="4" style="1" width="2"/>
  </cols>
  <sheetData>
    <row r="2" customFormat="false" ht="15" hidden="false" customHeight="true" outlineLevel="0" collapsed="false">
      <c r="B2" s="2"/>
      <c r="C2" s="2"/>
      <c r="D2" s="2"/>
    </row>
    <row r="3" customFormat="false" ht="21.75" hidden="false" customHeight="true" outlineLevel="0" collapsed="false">
      <c r="B3" s="3" t="s">
        <v>0</v>
      </c>
      <c r="C3" s="3"/>
      <c r="D3" s="3"/>
    </row>
    <row r="4" customFormat="false" ht="15" hidden="false" customHeight="true" outlineLevel="0" collapsed="false">
      <c r="B4" s="2"/>
      <c r="C4" s="2"/>
      <c r="D4" s="2"/>
    </row>
    <row r="5" customFormat="false" ht="17.25" hidden="false" customHeight="true" outlineLevel="0" collapsed="false">
      <c r="B5" s="4" t="s">
        <v>1</v>
      </c>
      <c r="C5" s="4"/>
      <c r="D5" s="4"/>
    </row>
    <row r="6" customFormat="false" ht="15" hidden="false" customHeight="true" outlineLevel="0" collapsed="false">
      <c r="B6" s="2"/>
      <c r="C6" s="2"/>
      <c r="D6" s="2"/>
    </row>
    <row r="9" customFormat="false" ht="15" hidden="false" customHeight="true" outlineLevel="0" collapsed="false">
      <c r="B9" s="5" t="s">
        <v>2</v>
      </c>
      <c r="C9" s="6" t="s">
        <v>3</v>
      </c>
    </row>
    <row r="10" customFormat="false" ht="15" hidden="false" customHeight="true" outlineLevel="0" collapsed="false">
      <c r="B10" s="5" t="s">
        <v>4</v>
      </c>
      <c r="C10" s="6" t="s">
        <v>5</v>
      </c>
    </row>
    <row r="11" customFormat="false" ht="15" hidden="false" customHeight="true" outlineLevel="0" collapsed="false">
      <c r="B11" s="5" t="s">
        <v>6</v>
      </c>
      <c r="C11" s="6" t="s">
        <v>7</v>
      </c>
    </row>
    <row r="12" customFormat="false" ht="15" hidden="false" customHeight="true" outlineLevel="0" collapsed="false">
      <c r="B12" s="5" t="s">
        <v>8</v>
      </c>
      <c r="C12" s="6" t="s">
        <v>9</v>
      </c>
    </row>
    <row r="13" customFormat="false" ht="15" hidden="false" customHeight="true" outlineLevel="0" collapsed="false">
      <c r="B13" s="5" t="s">
        <v>10</v>
      </c>
      <c r="C13" s="6" t="s">
        <v>11</v>
      </c>
    </row>
    <row r="14" customFormat="false" ht="15" hidden="false" customHeight="true" outlineLevel="0" collapsed="false">
      <c r="B14" s="5" t="s">
        <v>12</v>
      </c>
      <c r="C14" s="6" t="s">
        <v>13</v>
      </c>
    </row>
    <row r="15" customFormat="false" ht="15" hidden="false" customHeight="true" outlineLevel="0" collapsed="false">
      <c r="B15" s="5" t="s">
        <v>14</v>
      </c>
      <c r="C15" s="6" t="s">
        <v>15</v>
      </c>
    </row>
    <row r="16" customFormat="false" ht="15" hidden="false" customHeight="true" outlineLevel="0" collapsed="false">
      <c r="B16" s="5" t="s">
        <v>16</v>
      </c>
      <c r="C16" s="6" t="s">
        <v>17</v>
      </c>
    </row>
    <row r="19" customFormat="false" ht="15" hidden="false" customHeight="true" outlineLevel="0" collapsed="false">
      <c r="B19" s="7" t="s">
        <v>18</v>
      </c>
      <c r="C19" s="7"/>
    </row>
    <row r="21" customFormat="false" ht="15" hidden="false" customHeight="true" outlineLevel="0" collapsed="false">
      <c r="B21" s="8" t="s">
        <v>19</v>
      </c>
      <c r="C21" s="8" t="s">
        <v>20</v>
      </c>
    </row>
    <row r="22" customFormat="false" ht="15" hidden="false" customHeight="true" outlineLevel="0" collapsed="false">
      <c r="B22" s="9" t="s">
        <v>21</v>
      </c>
      <c r="C22" s="9" t="s">
        <v>22</v>
      </c>
    </row>
    <row r="23" customFormat="false" ht="15" hidden="false" customHeight="true" outlineLevel="0" collapsed="false">
      <c r="B23" s="9" t="s">
        <v>23</v>
      </c>
      <c r="C23" s="9" t="s">
        <v>24</v>
      </c>
    </row>
    <row r="24" customFormat="false" ht="15" hidden="false" customHeight="true" outlineLevel="0" collapsed="false">
      <c r="B24" s="9" t="s">
        <v>25</v>
      </c>
      <c r="C24" s="9" t="s">
        <v>26</v>
      </c>
    </row>
    <row r="27" customFormat="false" ht="15" hidden="false" customHeight="true" outlineLevel="0" collapsed="false">
      <c r="B27" s="7" t="s">
        <v>27</v>
      </c>
      <c r="C27" s="7"/>
    </row>
    <row r="29" customFormat="false" ht="15" hidden="false" customHeight="true" outlineLevel="0" collapsed="false">
      <c r="B29" s="10" t="s">
        <v>28</v>
      </c>
      <c r="C29" s="6" t="s">
        <v>29</v>
      </c>
    </row>
    <row r="30" customFormat="false" ht="15" hidden="false" customHeight="true" outlineLevel="0" collapsed="false">
      <c r="B30" s="5" t="s">
        <v>30</v>
      </c>
      <c r="C30" s="6" t="s">
        <v>31</v>
      </c>
    </row>
    <row r="31" customFormat="false" ht="15" hidden="false" customHeight="true" outlineLevel="0" collapsed="false">
      <c r="B31" s="11" t="s">
        <v>32</v>
      </c>
      <c r="C31" s="6" t="s">
        <v>33</v>
      </c>
    </row>
    <row r="32" customFormat="false" ht="15" hidden="false" customHeight="true" outlineLevel="0" collapsed="false">
      <c r="B32" s="12" t="s">
        <v>34</v>
      </c>
      <c r="C32" s="6" t="s">
        <v>35</v>
      </c>
    </row>
    <row r="35" customFormat="false" ht="15" hidden="false" customHeight="true" outlineLevel="0" collapsed="false">
      <c r="B35" s="13" t="s">
        <v>36</v>
      </c>
      <c r="C35" s="13"/>
    </row>
    <row r="37" customFormat="false" ht="30" hidden="false" customHeight="true" outlineLevel="0" collapsed="false">
      <c r="B37" s="14" t="s">
        <v>37</v>
      </c>
      <c r="C37" s="14"/>
      <c r="D37" s="14"/>
    </row>
    <row r="38" customFormat="false" ht="15" hidden="false" customHeight="true" outlineLevel="0" collapsed="false">
      <c r="B38" s="14"/>
      <c r="C38" s="14"/>
      <c r="D38" s="14"/>
    </row>
  </sheetData>
  <mergeCells count="6">
    <mergeCell ref="B3:D3"/>
    <mergeCell ref="B5:D5"/>
    <mergeCell ref="B19:C19"/>
    <mergeCell ref="B27:C27"/>
    <mergeCell ref="B35:C35"/>
    <mergeCell ref="B37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2"/>
    <col collapsed="false" customWidth="true" hidden="false" outlineLevel="0" max="8" min="3" style="1" width="16"/>
    <col collapsed="false" customWidth="true" hidden="false" outlineLevel="0" max="9" min="9" style="1" width="30"/>
  </cols>
  <sheetData>
    <row r="2" customFormat="false" ht="27.75" hidden="false" customHeight="true" outlineLevel="0" collapsed="false">
      <c r="B2" s="15" t="s">
        <v>38</v>
      </c>
      <c r="C2" s="15"/>
      <c r="D2" s="15"/>
      <c r="E2" s="15"/>
      <c r="F2" s="15"/>
      <c r="G2" s="15"/>
      <c r="H2" s="15"/>
      <c r="I2" s="15"/>
    </row>
    <row r="3" customFormat="false" ht="15" hidden="false" customHeight="true" outlineLevel="0" collapsed="false">
      <c r="B3" s="16" t="s">
        <v>39</v>
      </c>
      <c r="C3" s="16"/>
      <c r="D3" s="16"/>
      <c r="E3" s="16"/>
      <c r="F3" s="16"/>
      <c r="G3" s="16"/>
      <c r="H3" s="16"/>
      <c r="I3" s="16"/>
    </row>
    <row r="5" customFormat="false" ht="15" hidden="false" customHeight="true" outlineLevel="0" collapsed="false">
      <c r="B5" s="17" t="s">
        <v>40</v>
      </c>
      <c r="C5" s="18" t="s">
        <v>41</v>
      </c>
      <c r="D5" s="18" t="s">
        <v>42</v>
      </c>
      <c r="E5" s="18" t="s">
        <v>43</v>
      </c>
      <c r="F5" s="18" t="s">
        <v>44</v>
      </c>
      <c r="G5" s="18" t="s">
        <v>45</v>
      </c>
      <c r="H5" s="18" t="s">
        <v>46</v>
      </c>
      <c r="I5" s="18" t="s">
        <v>47</v>
      </c>
    </row>
    <row r="7" customFormat="false" ht="15" hidden="false" customHeight="true" outlineLevel="0" collapsed="false">
      <c r="B7" s="13" t="s">
        <v>48</v>
      </c>
      <c r="C7" s="13"/>
      <c r="D7" s="13"/>
      <c r="E7" s="13"/>
      <c r="F7" s="13"/>
      <c r="G7" s="13"/>
      <c r="H7" s="13"/>
      <c r="I7" s="13"/>
    </row>
    <row r="8" customFormat="false" ht="15" hidden="false" customHeight="true" outlineLevel="0" collapsed="false">
      <c r="B8" s="6" t="s">
        <v>49</v>
      </c>
      <c r="C8" s="19" t="n">
        <v>3.46</v>
      </c>
      <c r="D8" s="19" t="n">
        <v>4.1</v>
      </c>
      <c r="E8" s="19" t="n">
        <v>4.55</v>
      </c>
      <c r="F8" s="19" t="n">
        <v>5.05</v>
      </c>
      <c r="G8" s="19" t="n">
        <v>5.4</v>
      </c>
      <c r="H8" s="19" t="n">
        <v>5.7</v>
      </c>
      <c r="I8" s="20" t="s">
        <v>50</v>
      </c>
    </row>
    <row r="9" customFormat="false" ht="15" hidden="false" customHeight="true" outlineLevel="0" collapsed="false">
      <c r="B9" s="6" t="s">
        <v>51</v>
      </c>
      <c r="C9" s="21" t="n">
        <v>0.173</v>
      </c>
      <c r="D9" s="21" t="n">
        <v>0.18</v>
      </c>
      <c r="E9" s="21" t="n">
        <v>0.188</v>
      </c>
      <c r="F9" s="21" t="n">
        <v>0.195</v>
      </c>
      <c r="G9" s="21" t="n">
        <v>0.2</v>
      </c>
      <c r="H9" s="21" t="n">
        <v>0.205</v>
      </c>
      <c r="I9" s="1" t="s">
        <v>52</v>
      </c>
    </row>
    <row r="10" customFormat="false" ht="15" hidden="false" customHeight="true" outlineLevel="0" collapsed="false">
      <c r="B10" s="6" t="s">
        <v>53</v>
      </c>
      <c r="C10" s="22" t="n">
        <f aca="false">C8/C9</f>
        <v>20</v>
      </c>
      <c r="D10" s="22" t="n">
        <f aca="false">D8/D9</f>
        <v>22.7777777777778</v>
      </c>
      <c r="E10" s="22" t="n">
        <f aca="false">E8/E9</f>
        <v>24.2021276595745</v>
      </c>
      <c r="F10" s="22" t="n">
        <f aca="false">F8/F9</f>
        <v>25.8974358974359</v>
      </c>
      <c r="G10" s="22" t="n">
        <f aca="false">G8/G9</f>
        <v>27</v>
      </c>
      <c r="H10" s="22" t="n">
        <f aca="false">H8/H9</f>
        <v>27.8048780487805</v>
      </c>
      <c r="I10" s="1" t="s">
        <v>54</v>
      </c>
    </row>
    <row r="12" customFormat="false" ht="15" hidden="false" customHeight="true" outlineLevel="0" collapsed="false">
      <c r="B12" s="13" t="s">
        <v>55</v>
      </c>
      <c r="C12" s="13"/>
      <c r="D12" s="13"/>
      <c r="E12" s="13"/>
      <c r="F12" s="13"/>
      <c r="G12" s="13"/>
      <c r="H12" s="13"/>
      <c r="I12" s="13"/>
    </row>
    <row r="13" customFormat="false" ht="15" hidden="false" customHeight="true" outlineLevel="0" collapsed="false">
      <c r="B13" s="6" t="s">
        <v>56</v>
      </c>
      <c r="C13" s="23" t="n">
        <v>3.3</v>
      </c>
      <c r="D13" s="23" t="n">
        <v>3.7</v>
      </c>
      <c r="E13" s="19" t="n">
        <v>4.4</v>
      </c>
      <c r="F13" s="23" t="n">
        <v>5.15</v>
      </c>
      <c r="G13" s="19" t="n">
        <v>5.45</v>
      </c>
      <c r="H13" s="19" t="n">
        <v>5.7</v>
      </c>
      <c r="I13" s="1" t="s">
        <v>57</v>
      </c>
    </row>
    <row r="14" customFormat="false" ht="15" hidden="false" customHeight="true" outlineLevel="0" collapsed="false">
      <c r="B14" s="6" t="s">
        <v>58</v>
      </c>
      <c r="C14" s="24" t="s">
        <v>59</v>
      </c>
      <c r="D14" s="25" t="n">
        <f aca="false">D13/C13-1</f>
        <v>0.121212121212121</v>
      </c>
      <c r="E14" s="25" t="n">
        <f aca="false">E13/D13-1</f>
        <v>0.189189189189189</v>
      </c>
      <c r="F14" s="25" t="n">
        <f aca="false">F13/E13-1</f>
        <v>0.170454545454545</v>
      </c>
      <c r="G14" s="25" t="n">
        <f aca="false">G13/F13-1</f>
        <v>0.058252427184466</v>
      </c>
      <c r="H14" s="25" t="n">
        <f aca="false">H13/G13-1</f>
        <v>0.0458715596330275</v>
      </c>
      <c r="I14" s="1" t="s">
        <v>60</v>
      </c>
    </row>
    <row r="15" customFormat="false" ht="15" hidden="false" customHeight="true" outlineLevel="0" collapsed="false">
      <c r="B15" s="6" t="s">
        <v>61</v>
      </c>
      <c r="C15" s="25" t="n">
        <f aca="false">C13/C8</f>
        <v>0.953757225433526</v>
      </c>
      <c r="D15" s="25" t="n">
        <f aca="false">D13/D8</f>
        <v>0.902439024390244</v>
      </c>
      <c r="E15" s="25" t="n">
        <f aca="false">E13/E8</f>
        <v>0.967032967032967</v>
      </c>
      <c r="F15" s="25" t="n">
        <f aca="false">F13/F8</f>
        <v>1.01980198019802</v>
      </c>
      <c r="G15" s="25" t="n">
        <f aca="false">G13/G8</f>
        <v>1.00925925925926</v>
      </c>
      <c r="H15" s="25" t="n">
        <f aca="false">H13/H8</f>
        <v>1</v>
      </c>
      <c r="I15" s="1" t="s">
        <v>62</v>
      </c>
    </row>
    <row r="17" customFormat="false" ht="15" hidden="false" customHeight="true" outlineLevel="0" collapsed="false">
      <c r="B17" s="13" t="s">
        <v>63</v>
      </c>
      <c r="C17" s="13"/>
      <c r="D17" s="13"/>
      <c r="E17" s="13"/>
      <c r="F17" s="13"/>
      <c r="G17" s="13"/>
      <c r="H17" s="13"/>
      <c r="I17" s="13"/>
    </row>
    <row r="18" customFormat="false" ht="15" hidden="false" customHeight="true" outlineLevel="0" collapsed="false">
      <c r="B18" s="6" t="s">
        <v>64</v>
      </c>
      <c r="C18" s="21" t="n">
        <v>0.045</v>
      </c>
      <c r="I18" s="20" t="s">
        <v>65</v>
      </c>
    </row>
    <row r="19" customFormat="false" ht="15" hidden="false" customHeight="true" outlineLevel="0" collapsed="false">
      <c r="B19" s="6" t="s">
        <v>66</v>
      </c>
      <c r="C19" s="26" t="n">
        <v>0.05</v>
      </c>
      <c r="I19" s="20" t="s">
        <v>67</v>
      </c>
    </row>
    <row r="20" customFormat="false" ht="15" hidden="false" customHeight="true" outlineLevel="0" collapsed="false">
      <c r="B20" s="6" t="s">
        <v>68</v>
      </c>
      <c r="C20" s="27" t="n">
        <v>1.1</v>
      </c>
      <c r="I20" s="20" t="s">
        <v>69</v>
      </c>
    </row>
    <row r="21" customFormat="false" ht="15" hidden="false" customHeight="true" outlineLevel="0" collapsed="false">
      <c r="B21" s="6" t="s">
        <v>70</v>
      </c>
      <c r="C21" s="25" t="n">
        <f aca="false">C18+C19*C20</f>
        <v>0.1</v>
      </c>
      <c r="I21" s="20" t="s">
        <v>71</v>
      </c>
    </row>
    <row r="22" customFormat="false" ht="15" hidden="false" customHeight="true" outlineLevel="0" collapsed="false">
      <c r="B22" s="6" t="s">
        <v>72</v>
      </c>
      <c r="C22" s="26" t="n">
        <v>0.05</v>
      </c>
      <c r="I22" s="20" t="s">
        <v>73</v>
      </c>
    </row>
    <row r="23" customFormat="false" ht="15" hidden="false" customHeight="true" outlineLevel="0" collapsed="false">
      <c r="B23" s="6" t="s">
        <v>74</v>
      </c>
      <c r="C23" s="21" t="n">
        <v>0.25</v>
      </c>
      <c r="I23" s="20" t="s">
        <v>75</v>
      </c>
    </row>
    <row r="24" customFormat="false" ht="15" hidden="false" customHeight="true" outlineLevel="0" collapsed="false">
      <c r="B24" s="6" t="s">
        <v>76</v>
      </c>
      <c r="C24" s="25" t="n">
        <f aca="false">C22*(1-C23)</f>
        <v>0.0375</v>
      </c>
      <c r="I24" s="20" t="s">
        <v>77</v>
      </c>
    </row>
    <row r="25" customFormat="false" ht="15" hidden="false" customHeight="true" outlineLevel="0" collapsed="false">
      <c r="B25" s="6" t="s">
        <v>78</v>
      </c>
      <c r="C25" s="21" t="n">
        <v>0.92</v>
      </c>
      <c r="I25" s="20" t="s">
        <v>79</v>
      </c>
    </row>
    <row r="26" customFormat="false" ht="15" hidden="false" customHeight="true" outlineLevel="0" collapsed="false">
      <c r="B26" s="6" t="s">
        <v>80</v>
      </c>
      <c r="C26" s="21" t="n">
        <v>0.08</v>
      </c>
      <c r="I26" s="20" t="s">
        <v>81</v>
      </c>
    </row>
    <row r="27" customFormat="false" ht="15" hidden="false" customHeight="true" outlineLevel="0" collapsed="false">
      <c r="B27" s="5" t="s">
        <v>82</v>
      </c>
      <c r="C27" s="28" t="n">
        <f aca="false">C21*C25+C24*C26</f>
        <v>0.095</v>
      </c>
      <c r="I27" s="20" t="s">
        <v>83</v>
      </c>
    </row>
    <row r="29" customFormat="false" ht="15" hidden="false" customHeight="true" outlineLevel="0" collapsed="false">
      <c r="B29" s="13" t="s">
        <v>84</v>
      </c>
      <c r="C29" s="13"/>
      <c r="D29" s="13"/>
      <c r="E29" s="13"/>
      <c r="F29" s="13"/>
      <c r="G29" s="13"/>
      <c r="H29" s="13"/>
      <c r="I29" s="13"/>
    </row>
    <row r="30" customFormat="false" ht="15" hidden="false" customHeight="true" outlineLevel="0" collapsed="false">
      <c r="B30" s="6" t="s">
        <v>85</v>
      </c>
      <c r="C30" s="29" t="n">
        <v>0.0225</v>
      </c>
      <c r="I30" s="20" t="s">
        <v>86</v>
      </c>
    </row>
    <row r="31" customFormat="false" ht="15" hidden="false" customHeight="true" outlineLevel="0" collapsed="false">
      <c r="B31" s="6" t="s">
        <v>87</v>
      </c>
      <c r="C31" s="27" t="n">
        <v>8.3</v>
      </c>
      <c r="I31" s="20" t="s">
        <v>88</v>
      </c>
    </row>
    <row r="32" customFormat="false" ht="15" hidden="false" customHeight="true" outlineLevel="0" collapsed="false">
      <c r="B32" s="6" t="s">
        <v>89</v>
      </c>
      <c r="C32" s="19" t="n">
        <v>1.9</v>
      </c>
      <c r="I32" s="20" t="s">
        <v>90</v>
      </c>
    </row>
    <row r="33" customFormat="false" ht="15" hidden="false" customHeight="true" outlineLevel="0" collapsed="false">
      <c r="B33" s="6" t="s">
        <v>91</v>
      </c>
      <c r="C33" s="27" t="n">
        <v>1208.2</v>
      </c>
      <c r="I33" s="20" t="s">
        <v>92</v>
      </c>
    </row>
    <row r="34" customFormat="false" ht="15" hidden="false" customHeight="true" outlineLevel="0" collapsed="false">
      <c r="B34" s="6" t="s">
        <v>93</v>
      </c>
      <c r="C34" s="30" t="s">
        <v>94</v>
      </c>
      <c r="I34" s="20" t="s">
        <v>95</v>
      </c>
    </row>
    <row r="36" customFormat="false" ht="15" hidden="false" customHeight="true" outlineLevel="0" collapsed="false">
      <c r="B36" s="13" t="s">
        <v>96</v>
      </c>
      <c r="C36" s="13"/>
      <c r="D36" s="13"/>
      <c r="E36" s="13"/>
      <c r="F36" s="13"/>
      <c r="G36" s="13"/>
      <c r="H36" s="13"/>
      <c r="I36" s="13"/>
    </row>
    <row r="37" customFormat="false" ht="15" hidden="false" customHeight="true" outlineLevel="0" collapsed="false">
      <c r="B37" s="6" t="s">
        <v>97</v>
      </c>
      <c r="C37" s="23" t="n">
        <v>8</v>
      </c>
      <c r="I37" s="20" t="s">
        <v>98</v>
      </c>
    </row>
    <row r="38" customFormat="false" ht="15" hidden="false" customHeight="true" outlineLevel="0" collapsed="false">
      <c r="B38" s="6" t="s">
        <v>99</v>
      </c>
      <c r="C38" s="19" t="n">
        <v>2.5</v>
      </c>
      <c r="I38" s="1" t="s">
        <v>100</v>
      </c>
    </row>
  </sheetData>
  <mergeCells count="7">
    <mergeCell ref="B2:I2"/>
    <mergeCell ref="B3:I3"/>
    <mergeCell ref="B7:I7"/>
    <mergeCell ref="B12:I12"/>
    <mergeCell ref="B17:I17"/>
    <mergeCell ref="B29:I29"/>
    <mergeCell ref="B36:I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9" min="3" style="1" width="14"/>
    <col collapsed="false" customWidth="true" hidden="false" outlineLevel="0" max="10" min="10" style="1" width="30"/>
  </cols>
  <sheetData>
    <row r="2" customFormat="false" ht="27.75" hidden="false" customHeight="true" outlineLevel="0" collapsed="false">
      <c r="B2" s="31" t="s">
        <v>101</v>
      </c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true" outlineLevel="0" collapsed="false">
      <c r="B3" s="16" t="s">
        <v>102</v>
      </c>
      <c r="C3" s="16"/>
      <c r="D3" s="16"/>
      <c r="E3" s="16"/>
      <c r="F3" s="16"/>
      <c r="G3" s="16"/>
      <c r="H3" s="16"/>
      <c r="I3" s="16"/>
      <c r="J3" s="16"/>
    </row>
    <row r="5" customFormat="false" ht="15" hidden="false" customHeight="true" outlineLevel="0" collapsed="false">
      <c r="B5" s="17" t="s">
        <v>103</v>
      </c>
      <c r="C5" s="18" t="s">
        <v>41</v>
      </c>
      <c r="D5" s="18" t="s">
        <v>42</v>
      </c>
      <c r="E5" s="18" t="s">
        <v>43</v>
      </c>
      <c r="F5" s="18" t="s">
        <v>44</v>
      </c>
      <c r="G5" s="18" t="s">
        <v>45</v>
      </c>
      <c r="H5" s="18" t="s">
        <v>46</v>
      </c>
      <c r="I5" s="18" t="s">
        <v>104</v>
      </c>
    </row>
    <row r="7" customFormat="false" ht="15" hidden="false" customHeight="true" outlineLevel="0" collapsed="false">
      <c r="B7" s="13" t="s">
        <v>105</v>
      </c>
      <c r="C7" s="13"/>
      <c r="D7" s="13"/>
      <c r="E7" s="13"/>
      <c r="F7" s="13"/>
      <c r="G7" s="13"/>
      <c r="H7" s="13"/>
      <c r="I7" s="13"/>
      <c r="J7" s="13"/>
    </row>
    <row r="8" customFormat="false" ht="15" hidden="false" customHeight="true" outlineLevel="0" collapsed="false">
      <c r="B8" s="6" t="s">
        <v>106</v>
      </c>
      <c r="C8" s="32" t="n">
        <f aca="false">Assumptions!C8</f>
        <v>3.46</v>
      </c>
      <c r="D8" s="32" t="n">
        <f aca="false">Assumptions!D8</f>
        <v>4.1</v>
      </c>
      <c r="E8" s="32" t="n">
        <f aca="false">Assumptions!E8</f>
        <v>4.55</v>
      </c>
      <c r="F8" s="32" t="n">
        <f aca="false">Assumptions!F8</f>
        <v>5.05</v>
      </c>
      <c r="G8" s="32" t="n">
        <f aca="false">Assumptions!G8</f>
        <v>5.4</v>
      </c>
      <c r="H8" s="32" t="n">
        <f aca="false">Assumptions!H8</f>
        <v>5.7</v>
      </c>
    </row>
    <row r="9" customFormat="false" ht="15" hidden="false" customHeight="true" outlineLevel="0" collapsed="false">
      <c r="B9" s="5" t="s">
        <v>107</v>
      </c>
      <c r="C9" s="33" t="n">
        <f aca="false">Assumptions!C13</f>
        <v>3.3</v>
      </c>
      <c r="D9" s="33" t="n">
        <f aca="false">Assumptions!D13</f>
        <v>3.7</v>
      </c>
      <c r="E9" s="33" t="n">
        <f aca="false">Assumptions!E13</f>
        <v>4.4</v>
      </c>
      <c r="F9" s="33" t="n">
        <f aca="false">Assumptions!F13</f>
        <v>5.15</v>
      </c>
      <c r="G9" s="33" t="n">
        <f aca="false">Assumptions!G13</f>
        <v>5.45</v>
      </c>
      <c r="H9" s="33" t="n">
        <f aca="false">Assumptions!H13</f>
        <v>5.7</v>
      </c>
    </row>
    <row r="10" customFormat="false" ht="15" hidden="false" customHeight="true" outlineLevel="0" collapsed="false">
      <c r="B10" s="20" t="s">
        <v>108</v>
      </c>
      <c r="C10" s="34" t="s">
        <v>59</v>
      </c>
      <c r="D10" s="25" t="n">
        <f aca="false">D9/C9-1</f>
        <v>0.121212121212121</v>
      </c>
      <c r="E10" s="25" t="n">
        <f aca="false">E9/D9-1</f>
        <v>0.189189189189189</v>
      </c>
      <c r="F10" s="25" t="n">
        <f aca="false">F9/E9-1</f>
        <v>0.170454545454545</v>
      </c>
      <c r="G10" s="25" t="n">
        <f aca="false">G9/F9-1</f>
        <v>0.058252427184466</v>
      </c>
      <c r="H10" s="25" t="n">
        <f aca="false">H9/G9-1</f>
        <v>0.0458715596330275</v>
      </c>
    </row>
    <row r="11" customFormat="false" ht="15" hidden="false" customHeight="true" outlineLevel="0" collapsed="false">
      <c r="B11" s="20" t="s">
        <v>109</v>
      </c>
      <c r="F11" s="35" t="n">
        <f aca="false">F9-C9</f>
        <v>1.85</v>
      </c>
    </row>
    <row r="13" customFormat="false" ht="15" hidden="false" customHeight="true" outlineLevel="0" collapsed="false">
      <c r="B13" s="13" t="s">
        <v>110</v>
      </c>
      <c r="C13" s="13"/>
      <c r="D13" s="13"/>
      <c r="E13" s="13"/>
      <c r="F13" s="13"/>
      <c r="G13" s="13"/>
      <c r="H13" s="13"/>
      <c r="I13" s="13"/>
      <c r="J13" s="13"/>
    </row>
    <row r="14" customFormat="false" ht="15" hidden="false" customHeight="true" outlineLevel="0" collapsed="false">
      <c r="B14" s="6" t="s">
        <v>111</v>
      </c>
      <c r="C14" s="36" t="n">
        <f aca="false">Assumptions!C27</f>
        <v>0.095</v>
      </c>
    </row>
    <row r="15" customFormat="false" ht="15" hidden="false" customHeight="true" outlineLevel="0" collapsed="false">
      <c r="B15" s="6" t="s">
        <v>85</v>
      </c>
      <c r="C15" s="36" t="n">
        <f aca="false">Assumptions!C30</f>
        <v>0.0225</v>
      </c>
    </row>
    <row r="17" customFormat="false" ht="15" hidden="false" customHeight="true" outlineLevel="0" collapsed="false">
      <c r="B17" s="6" t="s">
        <v>112</v>
      </c>
      <c r="D17" s="37" t="n">
        <v>0.6</v>
      </c>
      <c r="E17" s="37" t="n">
        <v>1.5</v>
      </c>
      <c r="F17" s="37" t="n">
        <v>2.5</v>
      </c>
      <c r="G17" s="37" t="n">
        <v>3.5</v>
      </c>
      <c r="H17" s="37" t="n">
        <v>4.5</v>
      </c>
      <c r="I17" s="37" t="n">
        <v>4.5</v>
      </c>
    </row>
    <row r="18" customFormat="false" ht="15" hidden="false" customHeight="true" outlineLevel="0" collapsed="false">
      <c r="B18" s="6" t="s">
        <v>113</v>
      </c>
      <c r="D18" s="38" t="n">
        <f aca="false">1/(1+$C$14)^D17</f>
        <v>0.947003378745754</v>
      </c>
      <c r="E18" s="38" t="n">
        <f aca="false">1/(1+$C$14)^E17</f>
        <v>0.87272782204109</v>
      </c>
      <c r="F18" s="38" t="n">
        <f aca="false">1/(1+$C$14)^F17</f>
        <v>0.797011709626566</v>
      </c>
      <c r="G18" s="38" t="n">
        <f aca="false">1/(1+$C$14)^G17</f>
        <v>0.72786457500143</v>
      </c>
      <c r="H18" s="38" t="n">
        <f aca="false">1/(1+$C$14)^H17</f>
        <v>0.664716506850621</v>
      </c>
      <c r="I18" s="38" t="n">
        <f aca="false">1/(1+$C$14)^I17</f>
        <v>0.664716506850621</v>
      </c>
    </row>
    <row r="20" customFormat="false" ht="15" hidden="false" customHeight="true" outlineLevel="0" collapsed="false">
      <c r="B20" s="6" t="s">
        <v>114</v>
      </c>
      <c r="I20" s="39" t="n">
        <f aca="false">H9*(1+$C$15)/($C$14-$C$15)</f>
        <v>80.3896551724138</v>
      </c>
    </row>
    <row r="22" customFormat="false" ht="15" hidden="false" customHeight="true" outlineLevel="0" collapsed="false">
      <c r="B22" s="6" t="s">
        <v>115</v>
      </c>
      <c r="D22" s="22" t="n">
        <f aca="false">D9</f>
        <v>3.7</v>
      </c>
      <c r="E22" s="22" t="n">
        <f aca="false">E9</f>
        <v>4.4</v>
      </c>
      <c r="F22" s="22" t="n">
        <f aca="false">F9</f>
        <v>5.15</v>
      </c>
      <c r="G22" s="22" t="n">
        <f aca="false">G9</f>
        <v>5.45</v>
      </c>
      <c r="H22" s="22" t="n">
        <f aca="false">H9</f>
        <v>5.7</v>
      </c>
      <c r="I22" s="22" t="n">
        <f aca="false">I20</f>
        <v>80.3896551724138</v>
      </c>
    </row>
    <row r="23" customFormat="false" ht="15" hidden="false" customHeight="true" outlineLevel="0" collapsed="false">
      <c r="B23" s="5" t="s">
        <v>116</v>
      </c>
      <c r="D23" s="39" t="n">
        <f aca="false">D22*D18</f>
        <v>3.50391250135929</v>
      </c>
      <c r="E23" s="39" t="n">
        <f aca="false">E22*E18</f>
        <v>3.84000241698079</v>
      </c>
      <c r="F23" s="39" t="n">
        <f aca="false">F22*F18</f>
        <v>4.10461030457682</v>
      </c>
      <c r="G23" s="39" t="n">
        <f aca="false">G22*G18</f>
        <v>3.96686193375779</v>
      </c>
      <c r="H23" s="39" t="n">
        <f aca="false">H22*H18</f>
        <v>3.78888408904854</v>
      </c>
      <c r="I23" s="39" t="n">
        <f aca="false">I22*I18</f>
        <v>53.4363307731329</v>
      </c>
    </row>
    <row r="26" customFormat="false" ht="15" hidden="false" customHeight="true" outlineLevel="0" collapsed="false">
      <c r="B26" s="13" t="s">
        <v>117</v>
      </c>
      <c r="C26" s="13"/>
      <c r="D26" s="13"/>
      <c r="E26" s="13"/>
      <c r="F26" s="13"/>
      <c r="G26" s="13"/>
      <c r="H26" s="13"/>
      <c r="I26" s="13"/>
      <c r="J26" s="13"/>
    </row>
    <row r="28" customFormat="false" ht="15" hidden="false" customHeight="true" outlineLevel="0" collapsed="false">
      <c r="B28" s="6" t="s">
        <v>118</v>
      </c>
      <c r="C28" s="22" t="n">
        <f aca="false">SUM(D23:H23)</f>
        <v>19.2042712457232</v>
      </c>
    </row>
    <row r="29" customFormat="false" ht="15" hidden="false" customHeight="true" outlineLevel="0" collapsed="false">
      <c r="B29" s="6" t="s">
        <v>119</v>
      </c>
      <c r="C29" s="22" t="n">
        <f aca="false">I23</f>
        <v>53.4363307731329</v>
      </c>
    </row>
    <row r="30" customFormat="false" ht="15" hidden="false" customHeight="true" outlineLevel="0" collapsed="false">
      <c r="B30" s="5" t="s">
        <v>120</v>
      </c>
      <c r="C30" s="40" t="n">
        <f aca="false">C28+C29</f>
        <v>72.6406020188561</v>
      </c>
    </row>
    <row r="31" customFormat="false" ht="15" hidden="false" customHeight="true" outlineLevel="0" collapsed="false">
      <c r="B31" s="6" t="s">
        <v>121</v>
      </c>
      <c r="C31" s="32" t="n">
        <f aca="false">Assumptions!C32</f>
        <v>1.9</v>
      </c>
    </row>
    <row r="32" customFormat="false" ht="15" hidden="false" customHeight="true" outlineLevel="0" collapsed="false">
      <c r="B32" s="5" t="s">
        <v>122</v>
      </c>
      <c r="C32" s="40" t="n">
        <f aca="false">C30+C31</f>
        <v>74.5406020188561</v>
      </c>
    </row>
    <row r="33" customFormat="false" ht="15" hidden="false" customHeight="true" outlineLevel="0" collapsed="false">
      <c r="B33" s="6" t="s">
        <v>123</v>
      </c>
      <c r="C33" s="41" t="n">
        <f aca="false">Assumptions!C31</f>
        <v>8.3</v>
      </c>
    </row>
    <row r="34" customFormat="false" ht="15" hidden="false" customHeight="true" outlineLevel="0" collapsed="false">
      <c r="B34" s="5" t="s">
        <v>124</v>
      </c>
      <c r="C34" s="42" t="n">
        <f aca="false">C32/C33</f>
        <v>8.98079542395857</v>
      </c>
    </row>
    <row r="35" customFormat="false" ht="15" hidden="false" customHeight="true" outlineLevel="0" collapsed="false">
      <c r="B35" s="6" t="s">
        <v>125</v>
      </c>
      <c r="C35" s="43" t="n">
        <f aca="false">Assumptions!C33/100</f>
        <v>12.082</v>
      </c>
    </row>
    <row r="36" customFormat="false" ht="15" hidden="false" customHeight="true" outlineLevel="0" collapsed="false">
      <c r="B36" s="5" t="s">
        <v>126</v>
      </c>
      <c r="C36" s="28" t="n">
        <f aca="false">C34/C35-1</f>
        <v>-0.256679736470902</v>
      </c>
    </row>
    <row r="39" customFormat="false" ht="15" hidden="false" customHeight="true" outlineLevel="0" collapsed="false">
      <c r="B39" s="13" t="s">
        <v>127</v>
      </c>
      <c r="C39" s="13"/>
      <c r="D39" s="13"/>
      <c r="E39" s="13"/>
      <c r="F39" s="13"/>
      <c r="G39" s="13"/>
      <c r="H39" s="13"/>
      <c r="I39" s="13"/>
      <c r="J39" s="13"/>
    </row>
    <row r="40" customFormat="false" ht="15" hidden="false" customHeight="true" outlineLevel="0" collapsed="false">
      <c r="B40" s="16" t="s">
        <v>128</v>
      </c>
      <c r="C40" s="16"/>
      <c r="D40" s="16"/>
      <c r="E40" s="16"/>
      <c r="F40" s="16"/>
      <c r="G40" s="16"/>
      <c r="H40" s="16"/>
      <c r="I40" s="16"/>
      <c r="J40" s="16"/>
    </row>
    <row r="42" customFormat="false" ht="15" hidden="false" customHeight="true" outlineLevel="0" collapsed="false">
      <c r="C42" s="18" t="s">
        <v>129</v>
      </c>
      <c r="D42" s="44" t="n">
        <v>0.015</v>
      </c>
      <c r="E42" s="44" t="n">
        <v>0.018</v>
      </c>
      <c r="F42" s="44" t="n">
        <v>0.02</v>
      </c>
      <c r="G42" s="44" t="n">
        <v>0.0225</v>
      </c>
      <c r="H42" s="44" t="n">
        <v>0.025</v>
      </c>
      <c r="I42" s="44" t="n">
        <v>0.0275</v>
      </c>
      <c r="J42" s="44" t="n">
        <v>0.03</v>
      </c>
    </row>
    <row r="43" customFormat="false" ht="15" hidden="false" customHeight="true" outlineLevel="0" collapsed="false">
      <c r="C43" s="44" t="n">
        <v>0.08</v>
      </c>
      <c r="D43" s="45" t="n">
        <f aca="false">($D$9/(1+$C43)^0.6+$E$9/(1+$C43)^1.5+$F$9/(1+$C43)^2.5+$G$9/(1+$C43)^3.5+$H$9/(1+$C43)^4.5+($H$9*(1+D$42)/($C43-D$42))/(1+$C43)^4.5+Assumptions!$C$32)/Assumptions!$C$31</f>
        <v>10.2108577392331</v>
      </c>
      <c r="E43" s="45" t="n">
        <f aca="false">($D$9/(1+$C43)^0.6+$E$9/(1+$C43)^1.5+$F$9/(1+$C43)^2.5+$G$9/(1+$C43)^3.5+$H$9/(1+$C43)^4.5+($H$9*(1+E$42)/($C43-E$42))/(1+$C43)^4.5+Assumptions!$C$32)/Assumptions!$C$31</f>
        <v>10.601365642437</v>
      </c>
      <c r="F43" s="45" t="n">
        <f aca="false">($D$9/(1+$C43)^0.6+$E$9/(1+$C43)^1.5+$F$9/(1+$C43)^2.5+$G$9/(1+$C43)^3.5+$H$9/(1+$C43)^4.5+($H$9*(1+F$42)/($C43-F$42))/(1+$C43)^4.5+Assumptions!$C$32)/Assumptions!$C$31</f>
        <v>10.8833991280842</v>
      </c>
      <c r="G43" s="45" t="n">
        <f aca="false">($D$9/(1+$C43)^0.6+$E$9/(1+$C43)^1.5+$F$9/(1+$C43)^2.5+$G$9/(1+$C43)^3.5+$H$9/(1+$C43)^4.5+($H$9*(1+G$42)/($C43-G$42))/(1+$C43)^4.5+Assumptions!$C$32)/Assumptions!$C$31</f>
        <v>11.2635312174348</v>
      </c>
      <c r="H43" s="45" t="n">
        <f aca="false">($D$9/(1+$C43)^0.6+$E$9/(1+$C43)^1.5+$F$9/(1+$C43)^2.5+$G$9/(1+$C43)^3.5+$H$9/(1+$C43)^4.5+($H$9*(1+H$42)/($C43-H$42))/(1+$C43)^4.5+Assumptions!$C$32)/Assumptions!$C$31</f>
        <v>11.6782207694536</v>
      </c>
      <c r="I43" s="45" t="n">
        <f aca="false">($D$9/(1+$C43)^0.6+$E$9/(1+$C43)^1.5+$F$9/(1+$C43)^2.5+$G$9/(1+$C43)^3.5+$H$9/(1+$C43)^4.5+($H$9*(1+I$42)/($C43-I$42))/(1+$C43)^4.5+Assumptions!$C$32)/Assumptions!$C$31</f>
        <v>12.1324045645219</v>
      </c>
      <c r="J43" s="45" t="n">
        <f aca="false">($D$9/(1+$C43)^0.6+$E$9/(1+$C43)^1.5+$F$9/(1+$C43)^2.5+$G$9/(1+$C43)^3.5+$H$9/(1+$C43)^4.5+($H$9*(1+J$42)/($C43-J$42))/(1+$C43)^4.5+Assumptions!$C$32)/Assumptions!$C$31</f>
        <v>12.6320067390969</v>
      </c>
    </row>
    <row r="44" customFormat="false" ht="15" hidden="false" customHeight="true" outlineLevel="0" collapsed="false">
      <c r="C44" s="44" t="n">
        <v>0.085</v>
      </c>
      <c r="D44" s="45" t="n">
        <f aca="false">($D$9/(1+$C44)^0.6+$E$9/(1+$C44)^1.5+$F$9/(1+$C44)^2.5+$G$9/(1+$C44)^3.5+$H$9/(1+$C44)^4.5+($H$9*(1+D$42)/($C44-D$42))/(1+$C44)^4.5+Assumptions!$C$32)/Assumptions!$C$31</f>
        <v>9.49585736939407</v>
      </c>
      <c r="E44" s="45" t="n">
        <f aca="false">($D$9/(1+$C44)^0.6+$E$9/(1+$C44)^1.5+$F$9/(1+$C44)^2.5+$G$9/(1+$C44)^3.5+$H$9/(1+$C44)^4.5+($H$9*(1+E$42)/($C44-E$42))/(1+$C44)^4.5+Assumptions!$C$32)/Assumptions!$C$31</f>
        <v>9.82603001651817</v>
      </c>
      <c r="F44" s="45" t="n">
        <f aca="false">($D$9/(1+$C44)^0.6+$E$9/(1+$C44)^1.5+$F$9/(1+$C44)^2.5+$G$9/(1+$C44)^3.5+$H$9/(1+$C44)^4.5+($H$9*(1+F$42)/($C44-F$42))/(1+$C44)^4.5+Assumptions!$C$32)/Assumptions!$C$31</f>
        <v>10.0630770452227</v>
      </c>
      <c r="G44" s="45" t="n">
        <f aca="false">($D$9/(1+$C44)^0.6+$E$9/(1+$C44)^1.5+$F$9/(1+$C44)^2.5+$G$9/(1+$C44)^3.5+$H$9/(1+$C44)^4.5+($H$9*(1+G$42)/($C44-G$42))/(1+$C44)^4.5+Assumptions!$C$32)/Assumptions!$C$31</f>
        <v>10.3807200636867</v>
      </c>
      <c r="H44" s="45" t="n">
        <f aca="false">($D$9/(1+$C44)^0.6+$E$9/(1+$C44)^1.5+$F$9/(1+$C44)^2.5+$G$9/(1+$C44)^3.5+$H$9/(1+$C44)^4.5+($H$9*(1+H$42)/($C44-H$42))/(1+$C44)^4.5+Assumptions!$C$32)/Assumptions!$C$31</f>
        <v>10.7248333336893</v>
      </c>
      <c r="I44" s="45" t="n">
        <f aca="false">($D$9/(1+$C44)^0.6+$E$9/(1+$C44)^1.5+$F$9/(1+$C44)^2.5+$G$9/(1+$C44)^3.5+$H$9/(1+$C44)^4.5+($H$9*(1+I$42)/($C44-I$42))/(1+$C44)^4.5+Assumptions!$C$32)/Assumptions!$C$31</f>
        <v>11.0988694967357</v>
      </c>
      <c r="J44" s="45" t="n">
        <f aca="false">($D$9/(1+$C44)^0.6+$E$9/(1+$C44)^1.5+$F$9/(1+$C44)^2.5+$G$9/(1+$C44)^3.5+$H$9/(1+$C44)^4.5+($H$9*(1+J$42)/($C44-J$42))/(1+$C44)^4.5+Assumptions!$C$32)/Assumptions!$C$31</f>
        <v>11.5069089473318</v>
      </c>
    </row>
    <row r="45" customFormat="false" ht="15" hidden="false" customHeight="true" outlineLevel="0" collapsed="false">
      <c r="C45" s="44" t="n">
        <v>0.09</v>
      </c>
      <c r="D45" s="45" t="n">
        <f aca="false">($D$9/(1+$C45)^0.6+$E$9/(1+$C45)^1.5+$F$9/(1+$C45)^2.5+$G$9/(1+$C45)^3.5+$H$9/(1+$C45)^4.5+($H$9*(1+D$42)/($C45-D$42))/(1+$C45)^4.5+Assumptions!$C$32)/Assumptions!$C$31</f>
        <v>8.87634964994019</v>
      </c>
      <c r="E45" s="45" t="n">
        <f aca="false">($D$9/(1+$C45)^0.6+$E$9/(1+$C45)^1.5+$F$9/(1+$C45)^2.5+$G$9/(1+$C45)^3.5+$H$9/(1+$C45)^4.5+($H$9*(1+E$42)/($C45-E$42))/(1+$C45)^4.5+Assumptions!$C$32)/Assumptions!$C$31</f>
        <v>9.15853308468124</v>
      </c>
      <c r="F45" s="45" t="n">
        <f aca="false">($D$9/(1+$C45)^0.6+$E$9/(1+$C45)^1.5+$F$9/(1+$C45)^2.5+$G$9/(1+$C45)^3.5+$H$9/(1+$C45)^4.5+($H$9*(1+F$42)/($C45-F$42))/(1+$C45)^4.5+Assumptions!$C$32)/Assumptions!$C$31</f>
        <v>9.36009268092485</v>
      </c>
      <c r="G45" s="45" t="n">
        <f aca="false">($D$9/(1+$C45)^0.6+$E$9/(1+$C45)^1.5+$F$9/(1+$C45)^2.5+$G$9/(1+$C45)^3.5+$H$9/(1+$C45)^4.5+($H$9*(1+G$42)/($C45-G$42))/(1+$C45)^4.5+Assumptions!$C$32)/Assumptions!$C$31</f>
        <v>9.62883880924967</v>
      </c>
      <c r="H45" s="45" t="n">
        <f aca="false">($D$9/(1+$C45)^0.6+$E$9/(1+$C45)^1.5+$F$9/(1+$C45)^2.5+$G$9/(1+$C45)^3.5+$H$9/(1+$C45)^4.5+($H$9*(1+H$42)/($C45-H$42))/(1+$C45)^4.5+Assumptions!$C$32)/Assumptions!$C$31</f>
        <v>9.91825771667639</v>
      </c>
      <c r="I45" s="45" t="n">
        <f aca="false">($D$9/(1+$C45)^0.6+$E$9/(1+$C45)^1.5+$F$9/(1+$C45)^2.5+$G$9/(1+$C45)^3.5+$H$9/(1+$C45)^4.5+($H$9*(1+I$42)/($C45-I$42))/(1+$C45)^4.5+Assumptions!$C$32)/Assumptions!$C$31</f>
        <v>10.2308301366973</v>
      </c>
      <c r="J45" s="45" t="n">
        <f aca="false">($D$9/(1+$C45)^0.6+$E$9/(1+$C45)^1.5+$F$9/(1+$C45)^2.5+$G$9/(1+$C45)^3.5+$H$9/(1+$C45)^4.5+($H$9*(1+J$42)/($C45-J$42))/(1+$C45)^4.5+Assumptions!$C$32)/Assumptions!$C$31</f>
        <v>10.5694502583865</v>
      </c>
    </row>
    <row r="46" customFormat="false" ht="15" hidden="false" customHeight="true" outlineLevel="0" collapsed="false">
      <c r="C46" s="44" t="n">
        <v>0.095</v>
      </c>
      <c r="D46" s="45" t="n">
        <f aca="false">($D$9/(1+$C46)^0.6+$E$9/(1+$C46)^1.5+$F$9/(1+$C46)^2.5+$G$9/(1+$C46)^3.5+$H$9/(1+$C46)^4.5+($H$9*(1+D$42)/($C46-D$42))/(1+$C46)^4.5+Assumptions!$C$32)/Assumptions!$C$31</f>
        <v>8.33442628018393</v>
      </c>
      <c r="E46" s="45" t="n">
        <f aca="false">($D$9/(1+$C46)^0.6+$E$9/(1+$C46)^1.5+$F$9/(1+$C46)^2.5+$G$9/(1+$C46)^3.5+$H$9/(1+$C46)^4.5+($H$9*(1+E$42)/($C46-E$42))/(1+$C46)^4.5+Assumptions!$C$32)/Assumptions!$C$31</f>
        <v>8.57786400965749</v>
      </c>
      <c r="F46" s="45" t="n">
        <f aca="false">($D$9/(1+$C46)^0.6+$E$9/(1+$C46)^1.5+$F$9/(1+$C46)^2.5+$G$9/(1+$C46)^3.5+$H$9/(1+$C46)^4.5+($H$9*(1+F$42)/($C46-F$42))/(1+$C46)^4.5+Assumptions!$C$32)/Assumptions!$C$31</f>
        <v>8.75097528394981</v>
      </c>
      <c r="G46" s="46" t="n">
        <f aca="false">($D$9/(1+$C46)^0.6+$E$9/(1+$C46)^1.5+$F$9/(1+$C46)^2.5+$G$9/(1+$C46)^3.5+$H$9/(1+$C46)^4.5+($H$9*(1+G$42)/($C46-G$42))/(1+$C46)^4.5+Assumptions!$C$32)/Assumptions!$C$31</f>
        <v>8.98079542395857</v>
      </c>
      <c r="H46" s="45" t="n">
        <f aca="false">($D$9/(1+$C46)^0.6+$E$9/(1+$C46)^1.5+$F$9/(1+$C46)^2.5+$G$9/(1+$C46)^3.5+$H$9/(1+$C46)^4.5+($H$9*(1+H$42)/($C46-H$42))/(1+$C46)^4.5+Assumptions!$C$32)/Assumptions!$C$31</f>
        <v>9.22703128825366</v>
      </c>
      <c r="I46" s="45" t="n">
        <f aca="false">($D$9/(1+$C46)^0.6+$E$9/(1+$C46)^1.5+$F$9/(1+$C46)^2.5+$G$9/(1+$C46)^3.5+$H$9/(1+$C46)^4.5+($H$9*(1+I$42)/($C46-I$42))/(1+$C46)^4.5+Assumptions!$C$32)/Assumptions!$C$31</f>
        <v>9.49150684620026</v>
      </c>
      <c r="J46" s="45" t="n">
        <f aca="false">($D$9/(1+$C46)^0.6+$E$9/(1+$C46)^1.5+$F$9/(1+$C46)^2.5+$G$9/(1+$C46)^3.5+$H$9/(1+$C46)^4.5+($H$9*(1+J$42)/($C46-J$42))/(1+$C46)^4.5+Assumptions!$C$32)/Assumptions!$C$31</f>
        <v>9.77632667783504</v>
      </c>
    </row>
    <row r="47" customFormat="false" ht="15" hidden="false" customHeight="true" outlineLevel="0" collapsed="false">
      <c r="C47" s="44" t="n">
        <v>0.1</v>
      </c>
      <c r="D47" s="45" t="n">
        <f aca="false">($D$9/(1+$C47)^0.6+$E$9/(1+$C47)^1.5+$F$9/(1+$C47)^2.5+$G$9/(1+$C47)^3.5+$H$9/(1+$C47)^4.5+($H$9*(1+D$42)/($C47-D$42))/(1+$C47)^4.5+Assumptions!$C$32)/Assumptions!$C$31</f>
        <v>7.85639276276991</v>
      </c>
      <c r="E47" s="45" t="n">
        <f aca="false">($D$9/(1+$C47)^0.6+$E$9/(1+$C47)^1.5+$F$9/(1+$C47)^2.5+$G$9/(1+$C47)^3.5+$H$9/(1+$C47)^4.5+($H$9*(1+E$42)/($C47-E$42))/(1+$C47)^4.5+Assumptions!$C$32)/Assumptions!$C$31</f>
        <v>8.0681366305932</v>
      </c>
      <c r="F47" s="45" t="n">
        <f aca="false">($D$9/(1+$C47)^0.6+$E$9/(1+$C47)^1.5+$F$9/(1+$C47)^2.5+$G$9/(1+$C47)^3.5+$H$9/(1+$C47)^4.5+($H$9*(1+F$42)/($C47-F$42))/(1+$C47)^4.5+Assumptions!$C$32)/Assumptions!$C$31</f>
        <v>8.21812187030136</v>
      </c>
      <c r="G47" s="45" t="n">
        <f aca="false">($D$9/(1+$C47)^0.6+$E$9/(1+$C47)^1.5+$F$9/(1+$C47)^2.5+$G$9/(1+$C47)^3.5+$H$9/(1+$C47)^4.5+($H$9*(1+G$42)/($C47-G$42))/(1+$C47)^4.5+Assumptions!$C$32)/Assumptions!$C$31</f>
        <v>8.41648944539926</v>
      </c>
      <c r="H47" s="45" t="n">
        <f aca="false">($D$9/(1+$C47)^0.6+$E$9/(1+$C47)^1.5+$F$9/(1+$C47)^2.5+$G$9/(1+$C47)^3.5+$H$9/(1+$C47)^4.5+($H$9*(1+H$42)/($C47-H$42))/(1+$C47)^4.5+Assumptions!$C$32)/Assumptions!$C$31</f>
        <v>8.62808152550368</v>
      </c>
      <c r="I47" s="45" t="n">
        <f aca="false">($D$9/(1+$C47)^0.6+$E$9/(1+$C47)^1.5+$F$9/(1+$C47)^2.5+$G$9/(1+$C47)^3.5+$H$9/(1+$C47)^4.5+($H$9*(1+I$42)/($C47-I$42))/(1+$C47)^4.5+Assumptions!$C$32)/Assumptions!$C$31</f>
        <v>8.85426616285669</v>
      </c>
      <c r="J47" s="45" t="n">
        <f aca="false">($D$9/(1+$C47)^0.6+$E$9/(1+$C47)^1.5+$F$9/(1+$C47)^2.5+$G$9/(1+$C47)^3.5+$H$9/(1+$C47)^4.5+($H$9*(1+J$42)/($C47-J$42))/(1+$C47)^4.5+Assumptions!$C$32)/Assumptions!$C$31</f>
        <v>9.0966068457349</v>
      </c>
    </row>
    <row r="48" customFormat="false" ht="15" hidden="false" customHeight="true" outlineLevel="0" collapsed="false">
      <c r="C48" s="44" t="n">
        <v>0.105</v>
      </c>
      <c r="D48" s="45" t="n">
        <f aca="false">($D$9/(1+$C48)^0.6+$E$9/(1+$C48)^1.5+$F$9/(1+$C48)^2.5+$G$9/(1+$C48)^3.5+$H$9/(1+$C48)^4.5+($H$9*(1+D$42)/($C48-D$42))/(1+$C48)^4.5+Assumptions!$C$32)/Assumptions!$C$31</f>
        <v>7.43159790024724</v>
      </c>
      <c r="E48" s="45" t="n">
        <f aca="false">($D$9/(1+$C48)^0.6+$E$9/(1+$C48)^1.5+$F$9/(1+$C48)^2.5+$G$9/(1+$C48)^3.5+$H$9/(1+$C48)^4.5+($H$9*(1+E$42)/($C48-E$42))/(1+$C48)^4.5+Assumptions!$C$32)/Assumptions!$C$31</f>
        <v>7.6171168524971</v>
      </c>
      <c r="F48" s="45" t="n">
        <f aca="false">($D$9/(1+$C48)^0.6+$E$9/(1+$C48)^1.5+$F$9/(1+$C48)^2.5+$G$9/(1+$C48)^3.5+$H$9/(1+$C48)^4.5+($H$9*(1+F$42)/($C48-F$42))/(1+$C48)^4.5+Assumptions!$C$32)/Assumptions!$C$31</f>
        <v>7.74807140702641</v>
      </c>
      <c r="G48" s="45" t="n">
        <f aca="false">($D$9/(1+$C48)^0.6+$E$9/(1+$C48)^1.5+$F$9/(1+$C48)^2.5+$G$9/(1+$C48)^3.5+$H$9/(1+$C48)^4.5+($H$9*(1+G$42)/($C48-G$42))/(1+$C48)^4.5+Assumptions!$C$32)/Assumptions!$C$31</f>
        <v>7.92069331981504</v>
      </c>
      <c r="H48" s="45" t="n">
        <f aca="false">($D$9/(1+$C48)^0.6+$E$9/(1+$C48)^1.5+$F$9/(1+$C48)^2.5+$G$9/(1+$C48)^3.5+$H$9/(1+$C48)^4.5+($H$9*(1+H$42)/($C48-H$42))/(1+$C48)^4.5+Assumptions!$C$32)/Assumptions!$C$31</f>
        <v>8.10410410215297</v>
      </c>
      <c r="I48" s="45" t="n">
        <f aca="false">($D$9/(1+$C48)^0.6+$E$9/(1+$C48)^1.5+$F$9/(1+$C48)^2.5+$G$9/(1+$C48)^3.5+$H$9/(1+$C48)^4.5+($H$9*(1+I$42)/($C48-I$42))/(1+$C48)^4.5+Assumptions!$C$32)/Assumptions!$C$31</f>
        <v>8.29934783819011</v>
      </c>
      <c r="J48" s="45" t="n">
        <f aca="false">($D$9/(1+$C48)^0.6+$E$9/(1+$C48)^1.5+$F$9/(1+$C48)^2.5+$G$9/(1+$C48)^3.5+$H$9/(1+$C48)^4.5+($H$9*(1+J$42)/($C48-J$42))/(1+$C48)^4.5+Assumptions!$C$32)/Assumptions!$C$31</f>
        <v>8.5076078232964</v>
      </c>
    </row>
    <row r="49" customFormat="false" ht="15" hidden="false" customHeight="true" outlineLevel="0" collapsed="false">
      <c r="C49" s="44" t="n">
        <v>0.11</v>
      </c>
      <c r="D49" s="45" t="n">
        <f aca="false">($D$9/(1+$C49)^0.6+$E$9/(1+$C49)^1.5+$F$9/(1+$C49)^2.5+$G$9/(1+$C49)^3.5+$H$9/(1+$C49)^4.5+($H$9*(1+D$42)/($C49-D$42))/(1+$C49)^4.5+Assumptions!$C$32)/Assumptions!$C$31</f>
        <v>7.05163292438744</v>
      </c>
      <c r="E49" s="45" t="n">
        <f aca="false">($D$9/(1+$C49)^0.6+$E$9/(1+$C49)^1.5+$F$9/(1+$C49)^2.5+$G$9/(1+$C49)^3.5+$H$9/(1+$C49)^4.5+($H$9*(1+E$42)/($C49-E$42))/(1+$C49)^4.5+Assumptions!$C$32)/Assumptions!$C$31</f>
        <v>7.21523023486109</v>
      </c>
      <c r="F49" s="45" t="n">
        <f aca="false">($D$9/(1+$C49)^0.6+$E$9/(1+$C49)^1.5+$F$9/(1+$C49)^2.5+$G$9/(1+$C49)^3.5+$H$9/(1+$C49)^4.5+($H$9*(1+F$42)/($C49-F$42))/(1+$C49)^4.5+Assumptions!$C$32)/Assumptions!$C$31</f>
        <v>7.33035426815736</v>
      </c>
      <c r="G49" s="45" t="n">
        <f aca="false">($D$9/(1+$C49)^0.6+$E$9/(1+$C49)^1.5+$F$9/(1+$C49)^2.5+$G$9/(1+$C49)^3.5+$H$9/(1+$C49)^4.5+($H$9*(1+G$42)/($C49-G$42))/(1+$C49)^4.5+Assumptions!$C$32)/Assumptions!$C$31</f>
        <v>7.4816601404896</v>
      </c>
      <c r="H49" s="45" t="n">
        <f aca="false">($D$9/(1+$C49)^0.6+$E$9/(1+$C49)^1.5+$F$9/(1+$C49)^2.5+$G$9/(1+$C49)^3.5+$H$9/(1+$C49)^4.5+($H$9*(1+H$42)/($C49-H$42))/(1+$C49)^4.5+Assumptions!$C$32)/Assumptions!$C$31</f>
        <v>7.64186635825316</v>
      </c>
      <c r="I49" s="45" t="n">
        <f aca="false">($D$9/(1+$C49)^0.6+$E$9/(1+$C49)^1.5+$F$9/(1+$C49)^2.5+$G$9/(1+$C49)^3.5+$H$9/(1+$C49)^4.5+($H$9*(1+I$42)/($C49-I$42))/(1+$C49)^4.5+Assumptions!$C$32)/Assumptions!$C$31</f>
        <v>7.81178204375996</v>
      </c>
      <c r="J49" s="45" t="n">
        <f aca="false">($D$9/(1+$C49)^0.6+$E$9/(1+$C49)^1.5+$F$9/(1+$C49)^2.5+$G$9/(1+$C49)^3.5+$H$9/(1+$C49)^4.5+($H$9*(1+J$42)/($C49-J$42))/(1+$C49)^4.5+Assumptions!$C$32)/Assumptions!$C$31</f>
        <v>7.99231745961093</v>
      </c>
    </row>
    <row r="52" customFormat="false" ht="15" hidden="false" customHeight="true" outlineLevel="0" collapsed="false">
      <c r="B52" s="47" t="s">
        <v>130</v>
      </c>
    </row>
    <row r="53" customFormat="false" ht="15" hidden="false" customHeight="true" outlineLevel="0" collapsed="false">
      <c r="B53" s="14" t="s">
        <v>131</v>
      </c>
      <c r="C53" s="14"/>
      <c r="D53" s="14"/>
      <c r="E53" s="14"/>
      <c r="F53" s="14"/>
      <c r="G53" s="14"/>
      <c r="H53" s="14"/>
      <c r="I53" s="14"/>
      <c r="J53" s="14"/>
    </row>
    <row r="54" customFormat="false" ht="15" hidden="false" customHeight="true" outlineLevel="0" collapsed="false">
      <c r="B54" s="14"/>
      <c r="C54" s="14"/>
      <c r="D54" s="14"/>
      <c r="E54" s="14"/>
      <c r="F54" s="14"/>
      <c r="G54" s="14"/>
      <c r="H54" s="14"/>
      <c r="I54" s="14"/>
      <c r="J54" s="14"/>
    </row>
  </sheetData>
  <mergeCells count="8">
    <mergeCell ref="B2:J2"/>
    <mergeCell ref="B3:J3"/>
    <mergeCell ref="B7:J7"/>
    <mergeCell ref="B13:J13"/>
    <mergeCell ref="B26:J26"/>
    <mergeCell ref="B39:J39"/>
    <mergeCell ref="B40:J40"/>
    <mergeCell ref="B53:J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2026-05-23T10:21:01Z</dcterms:created>
  <dc:creator>openpyxl</dc:creator>
  <dc:description/>
  <dc:language>en-US</dc:language>
  <cp:lastModifiedBy/>
  <dcterms:modified xsi:type="dcterms:W3CDTF">2026-05-23T10:22:58Z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