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Outre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8"/>
    </font>
    <font>
      <name val="Calibri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35" customHeight="1">
      <c r="B2" s="1" t="inlineStr">
        <is>
          <t>PROJECT OSPREY — JOB SEARCH DASHBOARD</t>
        </is>
      </c>
    </row>
    <row r="4">
      <c r="B4" s="2" t="inlineStr">
        <is>
          <t>APPLICATIONS</t>
        </is>
      </c>
    </row>
    <row r="5">
      <c r="B5" s="3" t="inlineStr">
        <is>
          <t>Total applications:</t>
        </is>
      </c>
      <c r="C5" s="4">
        <f>COUNTA(Applications!B2:B500)</f>
        <v/>
      </c>
    </row>
    <row r="6">
      <c r="B6" s="3" t="inlineStr">
        <is>
          <t>Acknowledged:</t>
        </is>
      </c>
      <c r="C6" s="4">
        <f>COUNTIF(Applications!K2:K500,"Acknowledged")+COUNTIF(Applications!K2:K500,"Phone screen")+COUNTIF(Applications!K2:K500,"First interview")+COUNTIF(Applications!K2:K500,"Technical interview")+COUNTIF(Applications!K2:K500,"Final round")+COUNTIF(Applications!K2:K500,"Offer")</f>
        <v/>
      </c>
    </row>
    <row r="7">
      <c r="B7" s="3" t="inlineStr">
        <is>
          <t>Interviews:</t>
        </is>
      </c>
      <c r="C7" s="4">
        <f>COUNTIF(Applications!K2:K500,"Phone screen")+COUNTIF(Applications!K2:K500,"First interview")+COUNTIF(Applications!K2:K500,"Technical interview")+COUNTIF(Applications!K2:K500,"Final round")</f>
        <v/>
      </c>
    </row>
    <row r="8">
      <c r="B8" s="3" t="inlineStr">
        <is>
          <t>Offers:</t>
        </is>
      </c>
      <c r="C8" s="4">
        <f>COUNTIF(Applications!K2:K500,"Offer")</f>
        <v/>
      </c>
    </row>
    <row r="9">
      <c r="B9" s="3" t="inlineStr">
        <is>
          <t>Response rate:</t>
        </is>
      </c>
      <c r="C9" s="5">
        <f>IFERROR(C6/C5,0)</f>
        <v/>
      </c>
    </row>
    <row r="10">
      <c r="B10" s="3" t="n"/>
      <c r="C10" s="4" t="n"/>
    </row>
    <row r="11">
      <c r="B11" s="3" t="inlineStr">
        <is>
          <t>OUTREACH</t>
        </is>
      </c>
      <c r="C11" s="4" t="n"/>
    </row>
    <row r="12">
      <c r="B12" s="3" t="inlineStr">
        <is>
          <t>Messages sent:</t>
        </is>
      </c>
      <c r="C12" s="4">
        <f>COUNTIF(Outreach!F2:F500,"Yes")</f>
        <v/>
      </c>
    </row>
    <row r="13">
      <c r="B13" s="3" t="inlineStr">
        <is>
          <t>Replies received:</t>
        </is>
      </c>
      <c r="C13" s="4">
        <f>COUNTIF(Outreach!G2:G500,"Yes")</f>
        <v/>
      </c>
    </row>
    <row r="14">
      <c r="B14" s="3" t="inlineStr">
        <is>
          <t>Reply rate:</t>
        </is>
      </c>
      <c r="C14" s="5">
        <f>IFERROR(C13/C12,0)</f>
        <v/>
      </c>
    </row>
    <row r="15">
      <c r="B15" s="3" t="inlineStr">
        <is>
          <t>Coffee chats booked:</t>
        </is>
      </c>
      <c r="C15" s="4">
        <f>COUNTIF(Outreach!K2:K500,"Coffee chat booked")</f>
        <v/>
      </c>
    </row>
    <row r="16">
      <c r="B16" s="3" t="inlineStr">
        <is>
          <t>Referrals received:</t>
        </is>
      </c>
      <c r="C16" s="4">
        <f>COUNTIF(Outreach!K2:K500,"Referral given")</f>
        <v/>
      </c>
    </row>
    <row r="17">
      <c r="B17" s="3" t="n"/>
      <c r="C17" s="4" t="n"/>
    </row>
    <row r="18">
      <c r="B18" s="3" t="inlineStr">
        <is>
          <t>WEEKLY TARGETS (track yourself)</t>
        </is>
      </c>
      <c r="C18" s="4" t="n"/>
    </row>
    <row r="19">
      <c r="B19" s="3" t="inlineStr">
        <is>
          <t>Applications/week:</t>
        </is>
      </c>
      <c r="C19" s="4" t="inlineStr">
        <is>
          <t>25</t>
        </is>
      </c>
    </row>
    <row r="20">
      <c r="B20" s="3" t="inlineStr">
        <is>
          <t>Cold messages/week:</t>
        </is>
      </c>
      <c r="C20" s="4" t="inlineStr">
        <is>
          <t>25</t>
        </is>
      </c>
    </row>
    <row r="21">
      <c r="B21" s="3" t="inlineStr">
        <is>
          <t>Interviews booked/month:</t>
        </is>
      </c>
      <c r="C21" s="4" t="inlineStr">
        <is>
          <t>5+</t>
        </is>
      </c>
    </row>
  </sheetData>
  <mergeCells count="4">
    <mergeCell ref="B2:F2"/>
    <mergeCell ref="B4:F4"/>
    <mergeCell ref="B11:F11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4" customWidth="1" min="4" max="4"/>
    <col width="35" customWidth="1" min="5" max="5"/>
    <col width="16" customWidth="1" min="6" max="6"/>
    <col width="18" customWidth="1" min="7" max="7"/>
    <col width="14" customWidth="1" min="8" max="8"/>
    <col width="22" customWidth="1" min="9" max="9"/>
    <col width="35" customWidth="1" min="10" max="10"/>
    <col width="16" customWidth="1" min="11" max="11"/>
    <col width="30" customWidth="1" min="12" max="12"/>
    <col width="30" customWidth="1" min="13" max="13"/>
  </cols>
  <sheetData>
    <row r="1" ht="30" customHeight="1">
      <c r="A1" s="6" t="inlineStr">
        <is>
          <t>Date Applied</t>
        </is>
      </c>
      <c r="B1" s="6" t="inlineStr">
        <is>
          <t>Company</t>
        </is>
      </c>
      <c r="C1" s="6" t="inlineStr">
        <is>
          <t>Role Title</t>
        </is>
      </c>
      <c r="D1" s="6" t="inlineStr">
        <is>
          <t>Source</t>
        </is>
      </c>
      <c r="E1" s="6" t="inlineStr">
        <is>
          <t>Job URL</t>
        </is>
      </c>
      <c r="F1" s="6" t="inlineStr">
        <is>
          <t>Application Method</t>
        </is>
      </c>
      <c r="G1" s="6" t="inlineStr">
        <is>
          <t>CV Version</t>
        </is>
      </c>
      <c r="H1" s="6" t="inlineStr">
        <is>
          <t>Cover Letter?</t>
        </is>
      </c>
      <c r="I1" s="6" t="inlineStr">
        <is>
          <t>Contact Name</t>
        </is>
      </c>
      <c r="J1" s="6" t="inlineStr">
        <is>
          <t>Contact LinkedIn</t>
        </is>
      </c>
      <c r="K1" s="6" t="inlineStr">
        <is>
          <t>Status</t>
        </is>
      </c>
      <c r="L1" s="6" t="inlineStr">
        <is>
          <t>Next Action</t>
        </is>
      </c>
      <c r="M1" s="6" t="inlineStr">
        <is>
          <t>Notes</t>
        </is>
      </c>
    </row>
    <row r="2">
      <c r="A2" s="7" t="inlineStr">
        <is>
          <t>2026-06-02</t>
        </is>
      </c>
      <c r="B2" s="7" t="inlineStr">
        <is>
          <t>NatWest Group</t>
        </is>
      </c>
      <c r="C2" s="7" t="inlineStr">
        <is>
          <t>Credit Risk Analyst Graduate Scheme</t>
        </is>
      </c>
      <c r="D2" s="7" t="inlineStr">
        <is>
          <t>Company Site</t>
        </is>
      </c>
      <c r="E2" s="7" t="inlineStr">
        <is>
          <t>https://jobs.natwestgroup.com/</t>
        </is>
      </c>
      <c r="F2" s="7" t="inlineStr">
        <is>
          <t>Portal</t>
        </is>
      </c>
      <c r="G2" s="7" t="inlineStr">
        <is>
          <t>CV_NatWest_CreditRisk.docx</t>
        </is>
      </c>
      <c r="H2" s="7" t="inlineStr">
        <is>
          <t>Yes</t>
        </is>
      </c>
      <c r="I2" s="7" t="inlineStr">
        <is>
          <t>(find on LinkedIn)</t>
        </is>
      </c>
      <c r="J2" s="7" t="inlineStr"/>
      <c r="K2" s="7" t="inlineStr">
        <is>
          <t>Applied</t>
        </is>
      </c>
      <c r="L2" s="7" t="inlineStr">
        <is>
          <t>Send LinkedIn note to hiring mgr</t>
        </is>
      </c>
      <c r="M2" s="7" t="inlineStr">
        <is>
          <t>Tier 1</t>
        </is>
      </c>
    </row>
    <row r="3">
      <c r="A3" s="7" t="inlineStr"/>
      <c r="B3" s="7" t="inlineStr">
        <is>
          <t>Schroders</t>
        </is>
      </c>
      <c r="C3" s="7" t="inlineStr">
        <is>
          <t>Investment Analyst (Graduate)</t>
        </is>
      </c>
      <c r="D3" s="7" t="inlineStr">
        <is>
          <t>LinkedIn</t>
        </is>
      </c>
      <c r="E3" s="7" t="inlineStr"/>
      <c r="F3" s="7" t="inlineStr">
        <is>
          <t>Easy Apply</t>
        </is>
      </c>
      <c r="G3" s="7" t="inlineStr">
        <is>
          <t>CV_Schroders.docx</t>
        </is>
      </c>
      <c r="H3" s="7" t="inlineStr">
        <is>
          <t>Yes</t>
        </is>
      </c>
      <c r="I3" s="7" t="inlineStr"/>
      <c r="J3" s="7" t="inlineStr"/>
      <c r="K3" s="7" t="inlineStr"/>
      <c r="L3" s="7" t="inlineStr"/>
      <c r="M3" s="7" t="inlineStr">
        <is>
          <t>Tier 1</t>
        </is>
      </c>
    </row>
    <row r="4">
      <c r="A4" s="7" t="inlineStr"/>
      <c r="B4" s="7" t="inlineStr">
        <is>
          <t>Deloitte UK</t>
        </is>
      </c>
      <c r="C4" s="7" t="inlineStr">
        <is>
          <t>Valuations Analyst</t>
        </is>
      </c>
      <c r="D4" s="7" t="inlineStr">
        <is>
          <t>Company Site</t>
        </is>
      </c>
      <c r="E4" s="7" t="inlineStr"/>
      <c r="F4" s="7" t="inlineStr">
        <is>
          <t>Portal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>
        <is>
          <t>Tier 2</t>
        </is>
      </c>
    </row>
  </sheetData>
  <dataValidations count="3">
    <dataValidation sqref="K2:K500" showDropDown="0" showInputMessage="0" showErrorMessage="0" allowBlank="1" type="list">
      <formula1>"Applied,Acknowledged,Phone screen,First interview,Technical interview,Final round,Offer,Rejected,Withdrawn"</formula1>
    </dataValidation>
    <dataValidation sqref="H2:H500" showDropDown="0" showInputMessage="0" showErrorMessage="0" allowBlank="1" type="list">
      <formula1>"Yes,No"</formula1>
    </dataValidation>
    <dataValidation sqref="D2:D500" showDropDown="0" showInputMessage="0" showErrorMessage="0" allowBlank="1" type="list">
      <formula1>"LinkedIn,eFinancialCareers,Bright Network,Company Site,Indeed,Referral,Other"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  <col width="35" customWidth="1" min="5" max="5"/>
    <col width="14" customWidth="1" min="6" max="6"/>
    <col width="12" customWidth="1" min="7" max="7"/>
    <col width="12" customWidth="1" min="8" max="8"/>
    <col width="16" customWidth="1" min="9" max="9"/>
    <col width="14" customWidth="1" min="10" max="10"/>
    <col width="18" customWidth="1" min="11" max="11"/>
    <col width="30" customWidth="1" min="12" max="12"/>
  </cols>
  <sheetData>
    <row r="1" ht="30" customHeight="1">
      <c r="A1" s="6" t="inlineStr">
        <is>
          <t>Date Sent</t>
        </is>
      </c>
      <c r="B1" s="6" t="inlineStr">
        <is>
          <t>Name</t>
        </is>
      </c>
      <c r="C1" s="6" t="inlineStr">
        <is>
          <t>Company</t>
        </is>
      </c>
      <c r="D1" s="6" t="inlineStr">
        <is>
          <t>Role</t>
        </is>
      </c>
      <c r="E1" s="6" t="inlineStr">
        <is>
          <t>LinkedIn URL</t>
        </is>
      </c>
      <c r="F1" s="6" t="inlineStr">
        <is>
          <t>Message Sent?</t>
        </is>
      </c>
      <c r="G1" s="6" t="inlineStr">
        <is>
          <t>Replied?</t>
        </is>
      </c>
      <c r="H1" s="6" t="inlineStr">
        <is>
          <t>Reply Date</t>
        </is>
      </c>
      <c r="I1" s="6" t="inlineStr">
        <is>
          <t>Follow-up Sent?</t>
        </is>
      </c>
      <c r="J1" s="6" t="inlineStr">
        <is>
          <t>Follow-up Date</t>
        </is>
      </c>
      <c r="K1" s="6" t="inlineStr">
        <is>
          <t>Outcome</t>
        </is>
      </c>
      <c r="L1" s="6" t="inlineStr">
        <is>
          <t>Notes</t>
        </is>
      </c>
    </row>
  </sheetData>
  <dataValidations count="2">
    <dataValidation sqref="F2:F500 G2:G500 I2:I500" showDropDown="0" showInputMessage="0" showErrorMessage="0" allowBlank="1" type="list">
      <formula1>"Yes,No"</formula1>
    </dataValidation>
    <dataValidation sqref="K2:K500" showDropDown="0" showInputMessage="0" showErrorMessage="0" allowBlank="1" type="list">
      <formula1>"No reply,Replied,Coffee chat booked,Referral given,Job lead,Not interested,Moved 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2026-06-01T11:39:22Z</dcterms:created>
  <dcterms:modified xmlns:dcterms="http://purl.org/dc/terms/" xmlns:xsi="http://www.w3.org/2001/XMLSchema-instance" xsi:type="dcterms:W3CDTF">2026-06-01T11:39:23Z</dcterms:modified>
</cp:coreProperties>
</file>